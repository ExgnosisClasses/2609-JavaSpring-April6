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apstone-I "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<sst xmlns="http://schemas.openxmlformats.org/spreadsheetml/2006/main" count="112" uniqueCount="106">
  <si>
    <t xml:space="preserve">Java Upskilling Capstone Rubric</t>
  </si>
  <si>
    <t xml:space="preserve">Name:</t>
  </si>
  <si>
    <t xml:space="preserve">Does Not Meet Expectations</t>
  </si>
  <si>
    <t xml:space="preserve">Meets Expectations</t>
  </si>
  <si>
    <t xml:space="preserve">Exceeds Expectations</t>
  </si>
  <si>
    <t xml:space="preserve">Score</t>
  </si>
  <si>
    <t xml:space="preserve">Weight</t>
  </si>
  <si>
    <t xml:space="preserve">Comments</t>
  </si>
  <si>
    <t xml:space="preserve">Backend Implementation</t>
  </si>
  <si>
    <t xml:space="preserve">Account service logic (Copilot-assisted)</t>
  </si>
  <si>
    <t xml:space="preserve">The learner is unable to complete the account service logic in the Spring Boot scaffold, even with GitHub Copilot assistance, instructor guidance, and colleague collaboration.</t>
  </si>
  <si>
    <t xml:space="preserve">The learner completes the account service logic using Copilot effectively, producing working service methods that return account data for authenticated users and pass the provided tests.</t>
  </si>
  <si>
    <t xml:space="preserve">Beyond the basic functionality, the learner refactors Copilot suggestions for clarity, adds input validation and meaningful logging, and demonstrates clear understanding of the generated code rather than accepting it uncritically.</t>
  </si>
  <si>
    <t xml:space="preserve">Transaction REST endpoints</t>
  </si>
  <si>
    <t xml:space="preserve">The learner is unable to implement REST endpoints that support transaction operations against the specified API contract, even with help.</t>
  </si>
  <si>
    <t xml:space="preserve">The learner implements transaction REST endpoints that conform to the provided API contract, correctly handling HTTP methods, request and response payloads, and status codes.</t>
  </si>
  <si>
    <t xml:space="preserve">The endpoints follow REST conventions rigorously, provide idempotent behavior where appropriate, return proper error responses (4xx/5xx) with useful messages, and are documented (OpenAPI or equivalent).</t>
  </si>
  <si>
    <t xml:space="preserve">Oracle persistence</t>
  </si>
  <si>
    <t xml:space="preserve">The learner cannot connect the service to the Oracle schema or persist transaction data successfully, even with sample configuration and documentation.</t>
  </si>
  <si>
    <t xml:space="preserve">The learner wires Spring Data / JPA (or JDBC) to the provided Oracle schema so that CRUD operations on accounts and transactions work end-to-end.</t>
  </si>
  <si>
    <t xml:space="preserve">The persistence layer uses transactions appropriately, avoids N+1 queries, handles configuration cleanly, and is structured so repositories are easily testable.</t>
  </si>
  <si>
    <t xml:space="preserve">Kafka transaction events</t>
  </si>
  <si>
    <t xml:space="preserve">The learner is unable to publish transaction events to the provided Kafka topic, even with sample code and documentation.</t>
  </si>
  <si>
    <t xml:space="preserve">The learner successfully publishes transaction events to the configured Kafka topic each time a transaction is completed; payload format and keying match the specifications.</t>
  </si>
  <si>
    <t xml:space="preserve">Beyond the basics, the code handles producer failures, includes meaningful metadata on events, uses an appropriate serializer for downstream consumers, and considers idempotency and at-least-once semantics.</t>
  </si>
  <si>
    <t xml:space="preserve">Section Total:</t>
  </si>
  <si>
    <t xml:space="preserve">Frontend Implementation</t>
  </si>
  <si>
    <t xml:space="preserve">React components and API integration</t>
  </si>
  <si>
    <t xml:space="preserve">The learner cannot connect React components to backend REST services, even with the sample components provided in the scaffold.</t>
  </si>
  <si>
    <t xml:space="preserve">The learner extends the provided React shell with components that call backend APIs, handle loading and error states, and display responses correctly.</t>
  </si>
  <si>
    <t xml:space="preserve">API calls are extracted into reusable hooks or services, component structure is consistent, and state management is thoughtful (no prop-drilling where a cleaner pattern fits).</t>
  </si>
  <si>
    <t xml:space="preserve">Account listing and transaction submission views</t>
  </si>
  <si>
    <t xml:space="preserve">The learner is unable to produce working UI views for listing accounts and submitting transactions.</t>
  </si>
  <si>
    <t xml:space="preserve">The learner implements views that show the authenticated user's accounts and allow submission of transactions; forms validate input and display success/failure outcomes.</t>
  </si>
  <si>
    <t xml:space="preserve">The UX is user friendly — clear feedback, disabled states while loading, accessible form controls — and client-side validation aligns with backend constraints.</t>
  </si>
  <si>
    <t xml:space="preserve">Authenticated UI interactions</t>
  </si>
  <si>
    <t xml:space="preserve">The UI does not correctly propagate authentication tokens to backend APIs, or fails to handle unauthenticated states.</t>
  </si>
  <si>
    <t xml:space="preserve">UI interactions respect the authenticated session; protected views and API calls work only for logged-in users, and 401/403 responses are handled appropriately.</t>
  </si>
  <si>
    <t xml:space="preserve">The UI gracefully handles token expiry (refresh or re-auth flow), protects sensitive routes, and does not leak tokens in logs, URLs, or component state longer than necessary.</t>
  </si>
  <si>
    <t xml:space="preserve">Security Integration</t>
  </si>
  <si>
    <t xml:space="preserve">OAuth2 resource server</t>
  </si>
  <si>
    <t xml:space="preserve">The learner cannot configure Spring Security as an OAuth2 resource server, even with documentation and instructor guidance.</t>
  </si>
  <si>
    <t xml:space="preserve">The Spring Boot service is configured as an OAuth2 resource server that validates tokens issued by Google, rejecting invalid or missing tokens.</t>
  </si>
  <si>
    <t xml:space="preserve">Issuer, audience, and signature validation are configured correctly; validation failures produce clear, non-leaky error responses and are logged for auditability.</t>
  </si>
  <si>
    <t xml:space="preserve">Google OAuth identity provider and login flow</t>
  </si>
  <si>
    <t xml:space="preserve">The OAuth login flow through Google does not work end-to-end; students cannot authenticate from the React UI through to the protected API.</t>
  </si>
  <si>
    <t xml:space="preserve">Google is configured as the external identity provider; users can log in from the React UI, obtain a token, and successfully call protected APIs.</t>
  </si>
  <si>
    <t xml:space="preserve">The appropriate OAuth flow is used (Authorization Code with PKCE for the SPA), scopes are handled thoughtfully, and tokens are stored securely on the client.</t>
  </si>
  <si>
    <t xml:space="preserve">Role-based access control (customer, admin)</t>
  </si>
  <si>
    <t xml:space="preserve">The learner cannot apply role checks to endpoints, or roles are applied incorrectly so that privileges leak between customer and admin.</t>
  </si>
  <si>
    <t xml:space="preserve">RBAC is implemented so that customer and admin roles have appropriate, clearly differentiated access to endpoints and UI features.</t>
  </si>
  <si>
    <t xml:space="preserve">Authorization is enforced at multiple layers (method-level and filter/controller), denies by default, and is covered by tests that verify role-based behavior.</t>
  </si>
  <si>
    <t xml:space="preserve">Endpoint hardening and token validation</t>
  </si>
  <si>
    <t xml:space="preserve">Endpoints are either unprotected or protection can be trivially bypassed; token validation is missing or misapplied. The external payment API call exposes credentials.</t>
  </si>
  <si>
    <t xml:space="preserve">All sensitive endpoints require valid tokens with appropriate scopes/roles; token validation includes expiry, signature, and claims checks. The external payment API call uses secure credential handling.</t>
  </si>
  <si>
    <t xml:space="preserve">Token handling resists common attacks (replay, token substitution, confused-deputy), the external payment integration isolates credentials properly (secret management, no client exposure), and propagation between the React UI and backend is validated.</t>
  </si>
  <si>
    <t xml:space="preserve">Testing &amp; Security Validation</t>
  </si>
  <si>
    <t xml:space="preserve">Unit tests (Copilot-assisted)</t>
  </si>
  <si>
    <t xml:space="preserve">The learner produces few or no meaningful unit tests, or tests pass trivially without exercising real logic.</t>
  </si>
  <si>
    <t xml:space="preserve">The learner generates a reasonable suite of unit tests with Copilot assistance that cover the main service and controller logic; tests are independent and deterministic.</t>
  </si>
  <si>
    <t xml:space="preserve">The learner critically reviews Copilot-generated tests, adds edge-case coverage, uses mocks/stubs appropriately, and achieves meaningful coverage of business logic (not coverage-for-coverage's-sake).</t>
  </si>
  <si>
    <t xml:space="preserve">Integration tests</t>
  </si>
  <si>
    <t xml:space="preserve">No end-to-end integration tests exist; the learner cannot demonstrate that the API works through its full stack (controller → service → persistence).</t>
  </si>
  <si>
    <t xml:space="preserve">The learner writes integration tests that exercise the REST API against the real persistence layer (or Testcontainers), confirming key happy-path and failure flows.</t>
  </si>
  <si>
    <t xml:space="preserve">Integration tests include security-aware scenarios (authenticated vs. unauthenticated, role checks), cover Kafka event emission, and are structured to run reliably in CI.</t>
  </si>
  <si>
    <t xml:space="preserve">SAST scan (Checkmarx) and remediation</t>
  </si>
  <si>
    <t xml:space="preserve">The learner does not run the SAST scan successfully, or dismisses the findings without analysis.</t>
  </si>
  <si>
    <t xml:space="preserve">The learner runs the Checkmarx SAST scan, triages the findings, and remediates the most important vulnerabilities in the code.</t>
  </si>
  <si>
    <t xml:space="preserve">The learner provides written rationale for each finding (fix / accept / defer), demonstrates rescans confirming fixes, and applies defense-in-depth where simple patches are insufficient.</t>
  </si>
  <si>
    <t xml:space="preserve">DAST scan and custom API payloads</t>
  </si>
  <si>
    <t xml:space="preserve">The learner does not execute a DAST scan or cannot design meaningful payloads to exercise the APIs.</t>
  </si>
  <si>
    <t xml:space="preserve">The learner executes a DAST scan against the running API, designs custom payloads for specialized banking use cases (e.g., bulk transfers, scheduled payments), and tests payload variations for expected security and behavior.</t>
  </si>
  <si>
    <t xml:space="preserve">The learner uses results to iterate on security controls, documents how each payload class is handled (accepted, rejected, logged), and shows that security controls hold under adversarial inputs.</t>
  </si>
  <si>
    <t xml:space="preserve">AI-Assisted Development</t>
  </si>
  <si>
    <t xml:space="preserve">Effective Copilot usage</t>
  </si>
  <si>
    <t xml:space="preserve">The learner uses Copilot as a passive auto-complete, accepts suggestions without review, or avoids Copilot where it would clearly help.</t>
  </si>
  <si>
    <t xml:space="preserve">The learner uses Copilot effectively across backend, frontend, and test authoring — writing clear comments/prompts, iterating on suggestions, and pairing AI output with their own judgment.</t>
  </si>
  <si>
    <t xml:space="preserve">The learner demonstrates advanced Copilot techniques (context priming, AI-assisted refactoring, generating tests from specs) and can explain when AI is, and is not, the right tool for a given task.</t>
  </si>
  <si>
    <t xml:space="preserve">Critical review of AI-generated code</t>
  </si>
  <si>
    <t xml:space="preserve">The learner accepts Copilot output without reading it, cannot explain what generated code does, or ships hallucinated or insecure code.</t>
  </si>
  <si>
    <t xml:space="preserve">The learner reviews Copilot output before accepting it, rejects or edits suggestions that are wrong, insecure, or non-idiomatic, and can explain the resulting code.</t>
  </si>
  <si>
    <t xml:space="preserve">The learner identifies subtle issues in AI output (security, performance, correctness), refactors confidently when Copilot is wrong, and treats AI as a collaborator rather than an authority.</t>
  </si>
  <si>
    <t xml:space="preserve">Code Quality</t>
  </si>
  <si>
    <t xml:space="preserve">Project organization and naming</t>
  </si>
  <si>
    <t xml:space="preserve">The learner has placed Java packages, React components, and configuration files in more-or-less random locations with unclear naming.</t>
  </si>
  <si>
    <t xml:space="preserve">Code follows a sensible package and folder structure; names for classes, methods, variables, and components reflect their purpose and follow Java and React conventions.</t>
  </si>
  <si>
    <t xml:space="preserve">Organization and naming are exemplary; the project is easy for a new team member to navigate and will be used as a positive example for future cohorts.</t>
  </si>
  <si>
    <t xml:space="preserve">Exception handling and resilience</t>
  </si>
  <si>
    <t xml:space="preserve">Code works only on the happy path and fails ungracefully on bad input, network failures, or missing data.</t>
  </si>
  <si>
    <t xml:space="preserve">The learner handles foreseeable error conditions with appropriate exceptions and error responses; failures are logged with context and surface meaningful messages to the caller.</t>
  </si>
  <si>
    <t xml:space="preserve">Code is resilient under adverse conditions — malformed payloads, unavailable downstream services, timeouts — and fails safely without leaking sensitive information.</t>
  </si>
  <si>
    <t xml:space="preserve">Readability and idiomatic style</t>
  </si>
  <si>
    <t xml:space="preserve">Code is hard to read, mixes styles, or leaves dead Copilot artifacts in place; comments describe the 'how' instead of the 'why'.</t>
  </si>
  <si>
    <t xml:space="preserve">Code is clean, consistent, and idiomatic in both Java and React/JavaScript; comments describe the 'why' and not the 'how'.</t>
  </si>
  <si>
    <t xml:space="preserve">The solution is exemplary and could serve as a reference for future cohorts.</t>
  </si>
  <si>
    <t xml:space="preserve">Collaboration &amp; Presentation</t>
  </si>
  <si>
    <t xml:space="preserve">Collaboration</t>
  </si>
  <si>
    <t xml:space="preserve">The learner did not participate much or at all in collaborative work, even granting some slack for shyness initially. They took a competitive, individualistic attitude toward the work.</t>
  </si>
  <si>
    <t xml:space="preserve">The learner participated fully in pair and ensemble programming sessions, asked for help when needed, offered help when colleagues needed it (even without prompting), and acceded to the group's consensus about design decisions after making their case constructively.</t>
  </si>
  <si>
    <t xml:space="preserve">Beyond basic collaboration, the learner encouraged colleagues to participate in group activities and responded to their suggestions in a positive way, even when they disagreed.</t>
  </si>
  <si>
    <t xml:space="preserve">Final system demo</t>
  </si>
  <si>
    <t xml:space="preserve">The presentation seemed random or ad hoc, and/or the presenter did not seem to remember how the moving parts fit together. Multiple issues interrupted the flow and the presenter was not sure how to resolve them without assistance. When asked about design decisions, the presenter did not have a clear rationale.</t>
  </si>
  <si>
    <t xml:space="preserve">The demo had a logical sequence that enabled people to follow the flow. At most 1–2 issues interrupted the flow and the presenter was able to recover from them gracefully and without delay. When asked, the presenter was able to explain the rationale for design decisions.</t>
  </si>
  <si>
    <t xml:space="preserve">The presenter handled questions in a way that enabled them to complete the demo within the allotted time while still providing good answers. When asked about design decisions, the presenter clearly understood multiple possible solutions and their trade-offs, and engaged with the audience professionally.</t>
  </si>
  <si>
    <t xml:space="preserve">Total Score</t>
  </si>
  <si>
    <t xml:space="preserve">Percent out of 100:</t>
  </si>
</sst>
</file>

<file path=xl/styles.xml><?xml version="1.0" encoding="utf-8"?>
<styleSheet xmlns="http://schemas.openxmlformats.org/spreadsheetml/2006/main">
  <numFmts count="4">
    <numFmt numFmtId="164" formatCode="General"/>
    <numFmt numFmtId="165" formatCode="0.000"/>
    <numFmt numFmtId="166" formatCode="0.00"/>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8"/>
      <name val="Calibri"/>
      <family val="2"/>
      <charset val="1"/>
    </font>
    <font>
      <b val="true"/>
      <sz val="16"/>
      <name val="Calibri"/>
      <family val="2"/>
      <charset val="1"/>
    </font>
    <font>
      <b val="true"/>
      <sz val="12"/>
      <name val="Calibri"/>
      <family val="2"/>
      <charset val="1"/>
    </font>
    <font>
      <sz val="10"/>
      <name val="Calibri"/>
      <family val="2"/>
      <charset val="1"/>
    </font>
    <font>
      <sz val="12"/>
      <name val="Calibri"/>
      <family val="2"/>
      <charset val="1"/>
    </font>
    <font>
      <b val="true"/>
      <sz val="24"/>
      <name val="Calibri"/>
      <family val="2"/>
      <charset val="1"/>
    </font>
    <font>
      <b val="true"/>
      <sz val="20"/>
      <name val="Calibri"/>
      <family val="2"/>
      <charset val="1"/>
    </font>
  </fonts>
  <fills count="5">
    <fill>
      <patternFill patternType="none"/>
    </fill>
    <fill>
      <patternFill patternType="gray125"/>
    </fill>
    <fill>
      <patternFill patternType="solid">
        <fgColor rgb="FFFFA8AB"/>
        <bgColor rgb="FFFF8080"/>
      </patternFill>
    </fill>
    <fill>
      <patternFill patternType="solid">
        <fgColor theme="7" tint="0.7998"/>
        <bgColor rgb="FFFCD5B5"/>
      </patternFill>
    </fill>
    <fill>
      <patternFill patternType="solid">
        <fgColor theme="9" tint="0.5998"/>
        <bgColor rgb="FFE6E0E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5" fillId="4"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left" vertical="top" textRotation="0" wrapText="true" indent="0" shrinkToFit="false"/>
      <protection locked="true" hidden="false"/>
    </xf>
    <xf numFmtId="164" fontId="7" fillId="4"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6" fontId="8" fillId="0" borderId="0" xfId="0" applyFont="true" applyBorder="fals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right" vertical="bottom" textRotation="0" wrapText="false" indent="0" shrinkToFit="false"/>
      <protection locked="true" hidden="false"/>
    </xf>
    <xf numFmtId="165" fontId="10" fillId="4"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8AB"/>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true" showOutlineSymbols="true" defaultGridColor="true" view="normal" topLeftCell="B39" colorId="64" zoomScale="161" zoomScaleNormal="161" zoomScalePageLayoutView="100" workbookViewId="0">
      <selection pane="topLeft" activeCell="D40" activeCellId="0" sqref="D40"/>
    </sheetView>
  </sheetViews>
  <sheetFormatPr defaultColWidth="8.66796875" defaultRowHeight="15" customHeight="false" zeroHeight="false" outlineLevelRow="0" outlineLevelCol="0"/>
  <cols>
    <col collapsed="false" customWidth="true" hidden="false" outlineLevel="0" max="1" min="1" style="0" width="35.16"/>
    <col collapsed="false" customWidth="true" hidden="false" outlineLevel="0" max="2" min="2" style="0" width="26.83"/>
    <col collapsed="false" customWidth="true" hidden="false" outlineLevel="0" max="3" min="3" style="0" width="36.83"/>
    <col collapsed="false" customWidth="true" hidden="false" outlineLevel="0" max="4" min="4" style="0" width="35.16"/>
    <col collapsed="false" customWidth="true" hidden="false" outlineLevel="0" max="5" min="5" style="0" width="34.66"/>
    <col collapsed="false" customWidth="true" hidden="false" outlineLevel="0" max="7" min="6" style="0" width="11"/>
    <col collapsed="false" customWidth="true" hidden="false" outlineLevel="0" max="8" min="8" style="0" width="40.16"/>
    <col collapsed="false" customWidth="true" hidden="false" outlineLevel="0" max="9" min="9" style="0" width="19.33"/>
  </cols>
  <sheetData>
    <row r="1" customFormat="false" ht="30" hidden="false" customHeight="true" outlineLevel="0" collapsed="false">
      <c r="A1" s="1" t="s">
        <v>0</v>
      </c>
      <c r="B1" s="1"/>
      <c r="C1" s="1"/>
      <c r="D1" s="1"/>
      <c r="E1" s="1"/>
      <c r="F1" s="1"/>
      <c r="G1" s="1"/>
    </row>
    <row r="2" customFormat="false" ht="21" hidden="false" customHeight="true" outlineLevel="0" collapsed="false">
      <c r="A2" s="2" t="s">
        <v>1</v>
      </c>
    </row>
    <row r="5" customFormat="false" ht="43.5" hidden="false" customHeight="true" outlineLevel="0" collapsed="false">
      <c r="C5" s="3" t="s">
        <v>2</v>
      </c>
      <c r="D5" s="4" t="s">
        <v>3</v>
      </c>
      <c r="E5" s="5" t="s">
        <v>4</v>
      </c>
      <c r="F5" s="6" t="s">
        <v>5</v>
      </c>
      <c r="G5" s="6" t="s">
        <v>6</v>
      </c>
      <c r="H5" s="6" t="s">
        <v>7</v>
      </c>
    </row>
    <row r="6" customFormat="false" ht="22.5" hidden="false" customHeight="true" outlineLevel="0" collapsed="false">
      <c r="A6" s="7" t="s">
        <v>8</v>
      </c>
    </row>
    <row r="7" customFormat="false" ht="129.75" hidden="false" customHeight="true" outlineLevel="0" collapsed="false">
      <c r="B7" s="8" t="s">
        <v>9</v>
      </c>
      <c r="C7" s="9" t="s">
        <v>10</v>
      </c>
      <c r="D7" s="10" t="s">
        <v>11</v>
      </c>
      <c r="E7" s="11" t="s">
        <v>12</v>
      </c>
      <c r="F7" s="12"/>
      <c r="H7" s="13"/>
    </row>
    <row r="8" customFormat="false" ht="129.75" hidden="false" customHeight="true" outlineLevel="0" collapsed="false">
      <c r="B8" s="8" t="s">
        <v>13</v>
      </c>
      <c r="C8" s="9" t="s">
        <v>14</v>
      </c>
      <c r="D8" s="10" t="s">
        <v>15</v>
      </c>
      <c r="E8" s="11" t="s">
        <v>16</v>
      </c>
      <c r="F8" s="12"/>
      <c r="H8" s="13"/>
    </row>
    <row r="9" customFormat="false" ht="129.75" hidden="false" customHeight="true" outlineLevel="0" collapsed="false">
      <c r="B9" s="8" t="s">
        <v>17</v>
      </c>
      <c r="C9" s="9" t="s">
        <v>18</v>
      </c>
      <c r="D9" s="10" t="s">
        <v>19</v>
      </c>
      <c r="E9" s="11" t="s">
        <v>20</v>
      </c>
      <c r="F9" s="12"/>
      <c r="H9" s="13"/>
    </row>
    <row r="10" customFormat="false" ht="129.75" hidden="false" customHeight="true" outlineLevel="0" collapsed="false">
      <c r="B10" s="8" t="s">
        <v>21</v>
      </c>
      <c r="C10" s="9" t="s">
        <v>22</v>
      </c>
      <c r="D10" s="10" t="s">
        <v>23</v>
      </c>
      <c r="E10" s="11" t="s">
        <v>24</v>
      </c>
      <c r="F10" s="12"/>
      <c r="H10" s="13"/>
    </row>
    <row r="11" customFormat="false" ht="27" hidden="false" customHeight="true" outlineLevel="0" collapsed="false">
      <c r="E11" s="14" t="s">
        <v>25</v>
      </c>
      <c r="F11" s="15" t="n">
        <f aca="false">IFERROR(AVERAGE(F7:F10)/3*0.25,0)</f>
        <v>0</v>
      </c>
      <c r="G11" s="16" t="n">
        <v>0.25</v>
      </c>
    </row>
    <row r="12" customFormat="false" ht="22.5" hidden="false" customHeight="true" outlineLevel="0" collapsed="false">
      <c r="A12" s="7" t="s">
        <v>26</v>
      </c>
    </row>
    <row r="13" customFormat="false" ht="129.75" hidden="false" customHeight="true" outlineLevel="0" collapsed="false">
      <c r="B13" s="8" t="s">
        <v>27</v>
      </c>
      <c r="C13" s="9" t="s">
        <v>28</v>
      </c>
      <c r="D13" s="10" t="s">
        <v>29</v>
      </c>
      <c r="E13" s="11" t="s">
        <v>30</v>
      </c>
      <c r="F13" s="12"/>
      <c r="H13" s="13"/>
    </row>
    <row r="14" customFormat="false" ht="129.75" hidden="false" customHeight="true" outlineLevel="0" collapsed="false">
      <c r="B14" s="8" t="s">
        <v>31</v>
      </c>
      <c r="C14" s="9" t="s">
        <v>32</v>
      </c>
      <c r="D14" s="10" t="s">
        <v>33</v>
      </c>
      <c r="E14" s="11" t="s">
        <v>34</v>
      </c>
      <c r="F14" s="12"/>
      <c r="H14" s="13"/>
    </row>
    <row r="15" customFormat="false" ht="129.75" hidden="false" customHeight="true" outlineLevel="0" collapsed="false">
      <c r="B15" s="8" t="s">
        <v>35</v>
      </c>
      <c r="C15" s="9" t="s">
        <v>36</v>
      </c>
      <c r="D15" s="10" t="s">
        <v>37</v>
      </c>
      <c r="E15" s="11" t="s">
        <v>38</v>
      </c>
      <c r="F15" s="12"/>
      <c r="H15" s="13"/>
    </row>
    <row r="16" customFormat="false" ht="27" hidden="false" customHeight="true" outlineLevel="0" collapsed="false">
      <c r="E16" s="14" t="s">
        <v>25</v>
      </c>
      <c r="F16" s="15" t="n">
        <f aca="false">IFERROR(AVERAGE(F13:F15)/3*0.15,0)</f>
        <v>0</v>
      </c>
      <c r="G16" s="16" t="n">
        <v>0.15</v>
      </c>
    </row>
    <row r="17" customFormat="false" ht="22.5" hidden="false" customHeight="true" outlineLevel="0" collapsed="false">
      <c r="A17" s="7" t="s">
        <v>39</v>
      </c>
    </row>
    <row r="18" customFormat="false" ht="129.75" hidden="false" customHeight="true" outlineLevel="0" collapsed="false">
      <c r="B18" s="8" t="s">
        <v>40</v>
      </c>
      <c r="C18" s="9" t="s">
        <v>41</v>
      </c>
      <c r="D18" s="10" t="s">
        <v>42</v>
      </c>
      <c r="E18" s="11" t="s">
        <v>43</v>
      </c>
      <c r="F18" s="12"/>
      <c r="H18" s="13"/>
    </row>
    <row r="19" customFormat="false" ht="129.75" hidden="false" customHeight="true" outlineLevel="0" collapsed="false">
      <c r="B19" s="8" t="s">
        <v>44</v>
      </c>
      <c r="C19" s="9" t="s">
        <v>45</v>
      </c>
      <c r="D19" s="10" t="s">
        <v>46</v>
      </c>
      <c r="E19" s="11" t="s">
        <v>47</v>
      </c>
      <c r="F19" s="12"/>
      <c r="H19" s="13"/>
    </row>
    <row r="20" customFormat="false" ht="129.75" hidden="false" customHeight="true" outlineLevel="0" collapsed="false">
      <c r="B20" s="8" t="s">
        <v>48</v>
      </c>
      <c r="C20" s="9" t="s">
        <v>49</v>
      </c>
      <c r="D20" s="10" t="s">
        <v>50</v>
      </c>
      <c r="E20" s="11" t="s">
        <v>51</v>
      </c>
      <c r="F20" s="12"/>
      <c r="H20" s="13"/>
    </row>
    <row r="21" customFormat="false" ht="129.75" hidden="false" customHeight="true" outlineLevel="0" collapsed="false">
      <c r="B21" s="8" t="s">
        <v>52</v>
      </c>
      <c r="C21" s="9" t="s">
        <v>53</v>
      </c>
      <c r="D21" s="10" t="s">
        <v>54</v>
      </c>
      <c r="E21" s="11" t="s">
        <v>55</v>
      </c>
      <c r="F21" s="12"/>
      <c r="H21" s="13"/>
    </row>
    <row r="22" customFormat="false" ht="27" hidden="false" customHeight="true" outlineLevel="0" collapsed="false">
      <c r="E22" s="14" t="s">
        <v>25</v>
      </c>
      <c r="F22" s="15" t="n">
        <f aca="false">IFERROR(AVERAGE(F18:F21)/3*0.2,0)</f>
        <v>0</v>
      </c>
      <c r="G22" s="16" t="n">
        <v>0.2</v>
      </c>
    </row>
    <row r="23" customFormat="false" ht="22.5" hidden="false" customHeight="true" outlineLevel="0" collapsed="false">
      <c r="A23" s="7" t="s">
        <v>56</v>
      </c>
    </row>
    <row r="24" customFormat="false" ht="129.75" hidden="false" customHeight="true" outlineLevel="0" collapsed="false">
      <c r="B24" s="8" t="s">
        <v>57</v>
      </c>
      <c r="C24" s="9" t="s">
        <v>58</v>
      </c>
      <c r="D24" s="10" t="s">
        <v>59</v>
      </c>
      <c r="E24" s="11" t="s">
        <v>60</v>
      </c>
      <c r="F24" s="12"/>
      <c r="H24" s="13"/>
    </row>
    <row r="25" customFormat="false" ht="129.75" hidden="false" customHeight="true" outlineLevel="0" collapsed="false">
      <c r="B25" s="8" t="s">
        <v>61</v>
      </c>
      <c r="C25" s="9" t="s">
        <v>62</v>
      </c>
      <c r="D25" s="10" t="s">
        <v>63</v>
      </c>
      <c r="E25" s="11" t="s">
        <v>64</v>
      </c>
      <c r="F25" s="12"/>
      <c r="H25" s="13"/>
    </row>
    <row r="26" customFormat="false" ht="129.75" hidden="false" customHeight="true" outlineLevel="0" collapsed="false">
      <c r="B26" s="8" t="s">
        <v>65</v>
      </c>
      <c r="C26" s="9" t="s">
        <v>66</v>
      </c>
      <c r="D26" s="10" t="s">
        <v>67</v>
      </c>
      <c r="E26" s="11" t="s">
        <v>68</v>
      </c>
      <c r="F26" s="12"/>
      <c r="H26" s="13"/>
    </row>
    <row r="27" customFormat="false" ht="129.75" hidden="false" customHeight="true" outlineLevel="0" collapsed="false">
      <c r="B27" s="8" t="s">
        <v>69</v>
      </c>
      <c r="C27" s="9" t="s">
        <v>70</v>
      </c>
      <c r="D27" s="10" t="s">
        <v>71</v>
      </c>
      <c r="E27" s="11" t="s">
        <v>72</v>
      </c>
      <c r="F27" s="12"/>
      <c r="H27" s="13"/>
    </row>
    <row r="28" customFormat="false" ht="27" hidden="false" customHeight="true" outlineLevel="0" collapsed="false">
      <c r="E28" s="14" t="s">
        <v>25</v>
      </c>
      <c r="F28" s="15" t="n">
        <f aca="false">IFERROR(AVERAGE(F24:F27)/3*0.15,0)</f>
        <v>0</v>
      </c>
      <c r="G28" s="16" t="n">
        <v>0.15</v>
      </c>
    </row>
    <row r="29" customFormat="false" ht="22.5" hidden="false" customHeight="true" outlineLevel="0" collapsed="false">
      <c r="A29" s="7" t="s">
        <v>73</v>
      </c>
    </row>
    <row r="30" customFormat="false" ht="129.75" hidden="false" customHeight="true" outlineLevel="0" collapsed="false">
      <c r="B30" s="8" t="s">
        <v>74</v>
      </c>
      <c r="C30" s="9" t="s">
        <v>75</v>
      </c>
      <c r="D30" s="10" t="s">
        <v>76</v>
      </c>
      <c r="E30" s="11" t="s">
        <v>77</v>
      </c>
      <c r="F30" s="12"/>
      <c r="H30" s="13"/>
    </row>
    <row r="31" customFormat="false" ht="129.75" hidden="false" customHeight="true" outlineLevel="0" collapsed="false">
      <c r="B31" s="8" t="s">
        <v>78</v>
      </c>
      <c r="C31" s="9" t="s">
        <v>79</v>
      </c>
      <c r="D31" s="10" t="s">
        <v>80</v>
      </c>
      <c r="E31" s="11" t="s">
        <v>81</v>
      </c>
      <c r="F31" s="12"/>
      <c r="H31" s="13"/>
    </row>
    <row r="32" customFormat="false" ht="27" hidden="false" customHeight="true" outlineLevel="0" collapsed="false">
      <c r="E32" s="14" t="s">
        <v>25</v>
      </c>
      <c r="F32" s="15" t="n">
        <f aca="false">IFERROR(AVERAGE(F30:F31)/3*0.1,0)</f>
        <v>0</v>
      </c>
      <c r="G32" s="16" t="n">
        <v>0.1</v>
      </c>
    </row>
    <row r="33" customFormat="false" ht="22.5" hidden="false" customHeight="true" outlineLevel="0" collapsed="false">
      <c r="A33" s="7" t="s">
        <v>82</v>
      </c>
    </row>
    <row r="34" customFormat="false" ht="129.75" hidden="false" customHeight="true" outlineLevel="0" collapsed="false">
      <c r="B34" s="8" t="s">
        <v>83</v>
      </c>
      <c r="C34" s="9" t="s">
        <v>84</v>
      </c>
      <c r="D34" s="10" t="s">
        <v>85</v>
      </c>
      <c r="E34" s="11" t="s">
        <v>86</v>
      </c>
      <c r="F34" s="12"/>
      <c r="H34" s="13"/>
    </row>
    <row r="35" customFormat="false" ht="129.75" hidden="false" customHeight="true" outlineLevel="0" collapsed="false">
      <c r="B35" s="8" t="s">
        <v>87</v>
      </c>
      <c r="C35" s="9" t="s">
        <v>88</v>
      </c>
      <c r="D35" s="10" t="s">
        <v>89</v>
      </c>
      <c r="E35" s="11" t="s">
        <v>90</v>
      </c>
      <c r="F35" s="12"/>
      <c r="H35" s="13"/>
    </row>
    <row r="36" customFormat="false" ht="129.75" hidden="false" customHeight="true" outlineLevel="0" collapsed="false">
      <c r="B36" s="8" t="s">
        <v>91</v>
      </c>
      <c r="C36" s="9" t="s">
        <v>92</v>
      </c>
      <c r="D36" s="10" t="s">
        <v>93</v>
      </c>
      <c r="E36" s="11" t="s">
        <v>94</v>
      </c>
      <c r="F36" s="12"/>
      <c r="H36" s="13"/>
    </row>
    <row r="37" customFormat="false" ht="27" hidden="false" customHeight="true" outlineLevel="0" collapsed="false">
      <c r="E37" s="14" t="s">
        <v>25</v>
      </c>
      <c r="F37" s="15" t="n">
        <f aca="false">IFERROR(AVERAGE(F34:F36)/3*0.1,0)</f>
        <v>0</v>
      </c>
      <c r="G37" s="16" t="n">
        <v>0.1</v>
      </c>
    </row>
    <row r="38" customFormat="false" ht="22.5" hidden="false" customHeight="true" outlineLevel="0" collapsed="false">
      <c r="A38" s="7" t="s">
        <v>95</v>
      </c>
    </row>
    <row r="39" customFormat="false" ht="129.75" hidden="false" customHeight="true" outlineLevel="0" collapsed="false">
      <c r="B39" s="8" t="s">
        <v>96</v>
      </c>
      <c r="C39" s="9" t="s">
        <v>97</v>
      </c>
      <c r="D39" s="10" t="s">
        <v>98</v>
      </c>
      <c r="E39" s="11" t="s">
        <v>99</v>
      </c>
      <c r="F39" s="12"/>
      <c r="H39" s="13"/>
    </row>
    <row r="40" customFormat="false" ht="129.75" hidden="false" customHeight="true" outlineLevel="0" collapsed="false">
      <c r="B40" s="8" t="s">
        <v>100</v>
      </c>
      <c r="C40" s="9" t="s">
        <v>101</v>
      </c>
      <c r="D40" s="10" t="s">
        <v>102</v>
      </c>
      <c r="E40" s="11" t="s">
        <v>103</v>
      </c>
      <c r="F40" s="12"/>
      <c r="H40" s="13"/>
    </row>
    <row r="41" customFormat="false" ht="27" hidden="false" customHeight="true" outlineLevel="0" collapsed="false">
      <c r="E41" s="14" t="s">
        <v>25</v>
      </c>
      <c r="F41" s="15" t="n">
        <f aca="false">IFERROR(AVERAGE(F39:F40)/3*0.05,0)</f>
        <v>0</v>
      </c>
      <c r="G41" s="16" t="n">
        <v>0.05</v>
      </c>
    </row>
    <row r="43" customFormat="false" ht="33.75" hidden="false" customHeight="true" outlineLevel="0" collapsed="false">
      <c r="E43" s="17" t="s">
        <v>104</v>
      </c>
      <c r="F43" s="18" t="n">
        <f aca="false">SUM(F11,F16,F22,F28,F32,F37,F41)</f>
        <v>0</v>
      </c>
    </row>
    <row r="45" customFormat="false" ht="15" hidden="false" customHeight="false" outlineLevel="0" collapsed="false">
      <c r="E45" s="19" t="s">
        <v>105</v>
      </c>
      <c r="F45" s="20" t="n">
        <f aca="false">F43*100</f>
        <v>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2112</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2026-04-21T22:24:56Z</dcterms:created>
  <dc:creator>openpyxl</dc:creator>
  <dc:description/>
  <dc:language>en-US</dc:language>
  <cp:lastModifiedBy/>
  <dcterms:modified xsi:type="dcterms:W3CDTF">2026-04-23T19:26:23Z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